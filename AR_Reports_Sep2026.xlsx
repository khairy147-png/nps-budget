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 Aging Summary" sheetId="1" state="visible" r:id="rId3"/>
    <sheet name="2a Detailed Aging - Clients" sheetId="2" state="visible" r:id="rId4"/>
    <sheet name="2b Detailed Aging - Intercompa" sheetId="3" state="visible" r:id="rId5"/>
    <sheet name="3 KPIs" sheetId="4" state="visible" r:id="rId6"/>
    <sheet name="4 Top Overdue Customers" sheetId="5" state="visible" r:id="rId7"/>
    <sheet name="5 Traffic Ligh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<sst xmlns="http://schemas.openxmlformats.org/spreadsheetml/2006/main" count="213" uniqueCount="80">
  <si>
    <t xml:space="preserve">Aging Summary Report</t>
  </si>
  <si>
    <t xml:space="preserve">Reporting month: September 2026 | Invoices to 30 Sep 2026, collections to 16 Oct 2026 | Amounts in AED | Source: AR Report / AR_Customers</t>
  </si>
  <si>
    <t xml:space="preserve">External Clients</t>
  </si>
  <si>
    <t xml:space="preserve">Subsidiary</t>
  </si>
  <si>
    <t xml:space="preserve">Due for Collection during Sep
(o/s up to Aug 2026)</t>
  </si>
  <si>
    <t xml:space="preserve">Amount Collected in Sep</t>
  </si>
  <si>
    <t xml:space="preserve">Total Outstanding at 30 Sep 2026
(net of collections to 16 Oct)</t>
  </si>
  <si>
    <t xml:space="preserve">0–30 days
No risk</t>
  </si>
  <si>
    <t xml:space="preserve">31–60 days
Moderate</t>
  </si>
  <si>
    <t xml:space="preserve">61–90 days
High risk</t>
  </si>
  <si>
    <t xml:space="preserve">+91 days
Very high</t>
  </si>
  <si>
    <t xml:space="preserve">Overdue 61+ days</t>
  </si>
  <si>
    <t xml:space="preserve">Collection Rate</t>
  </si>
  <si>
    <t xml:space="preserve">Overdue Rate</t>
  </si>
  <si>
    <t xml:space="preserve">NPS</t>
  </si>
  <si>
    <t xml:space="preserve">NPM</t>
  </si>
  <si>
    <t xml:space="preserve">Total</t>
  </si>
  <si>
    <t xml:space="preserve">Intercompany (subsidiaries, UNH, Engineering Office)</t>
  </si>
  <si>
    <t xml:space="preserve">Detailed Aging Report by Customer – External Clients</t>
  </si>
  <si>
    <t xml:space="preserve">Company</t>
  </si>
  <si>
    <t xml:space="preserve">Customer / Account</t>
  </si>
  <si>
    <t xml:space="preserve">Due for Collection
(o/s at prior month end)</t>
  </si>
  <si>
    <t xml:space="preserve">Collected in Sep</t>
  </si>
  <si>
    <t xml:space="preserve">Total Outstanding
(net of collections to 16 Oct)</t>
  </si>
  <si>
    <t xml:space="preserve">Oldest Open Item (days)</t>
  </si>
  <si>
    <t xml:space="preserve">Seattle International Services – L.L.C – S.P.C</t>
  </si>
  <si>
    <t xml:space="preserve">SML Abu Dhabi Engineering &amp; Contracting - L.L.C</t>
  </si>
  <si>
    <t xml:space="preserve">Al Qabas Employment Sole Proprietorship LLC</t>
  </si>
  <si>
    <t xml:space="preserve">Mashtal Madina</t>
  </si>
  <si>
    <t xml:space="preserve">I-Serve Facilities and Management Services</t>
  </si>
  <si>
    <t xml:space="preserve">BGC International General Contracting - L.L.C</t>
  </si>
  <si>
    <t xml:space="preserve">Leads Middle East General Contracting - L.L.C - S.P.C</t>
  </si>
  <si>
    <t xml:space="preserve">ALMADINA AGENCIES AND SERVICES -LLC</t>
  </si>
  <si>
    <t xml:space="preserve">VENCO IMTIAZ CONTRACTING CO L.L.C</t>
  </si>
  <si>
    <t xml:space="preserve">Detailed Aging Report by Customer – Intercompany (subsidiaries, UNH, Engineering Office)</t>
  </si>
  <si>
    <t xml:space="preserve">H.H. Sheikh Mansour Bin Zayed Al Nahyan Engineering Office</t>
  </si>
  <si>
    <t xml:space="preserve">E11 Eng Conslt And Project Mgt - N</t>
  </si>
  <si>
    <t xml:space="preserve">NATIONAL PROJECTS SERVICES - L.L.C - S.P.C</t>
  </si>
  <si>
    <t xml:space="preserve">ALWATHBA GREEN SCAPE LLC SPC</t>
  </si>
  <si>
    <t xml:space="preserve">Due from KEY PMC</t>
  </si>
  <si>
    <t xml:space="preserve">E11 ENGINEERING CONSULTANCY AND PROJECT MANAGEMENT - SOLE</t>
  </si>
  <si>
    <t xml:space="preserve">Tal Al Wathba Transport and General Contracting L.L.C - S.P.C</t>
  </si>
  <si>
    <t xml:space="preserve">Due from EOM</t>
  </si>
  <si>
    <t xml:space="preserve">Due from UNH</t>
  </si>
  <si>
    <t xml:space="preserve">AL WATHBA NATIONAL HOSPITALITY - LLC-SPC</t>
  </si>
  <si>
    <t xml:space="preserve">ASAS UNITED CONSTRUCTION L.L.C - S.P.C</t>
  </si>
  <si>
    <t xml:space="preserve">FULL SERVICE FACILITIES MANAGEMENT - SOLE PROPRIETORSHIP LLC</t>
  </si>
  <si>
    <t xml:space="preserve">Due from T.T.T</t>
  </si>
  <si>
    <t xml:space="preserve">Key Performance Indicators</t>
  </si>
  <si>
    <t xml:space="preserve">Overdue Ratio (61+ days)</t>
  </si>
  <si>
    <t xml:space="preserve">Debit balances &gt; 91 days (AED)</t>
  </si>
  <si>
    <t xml:space="preserve">+91 as % of Outstanding</t>
  </si>
  <si>
    <t xml:space="preserve">Combined</t>
  </si>
  <si>
    <t xml:space="preserve">Collection Rate = amounts collected this month ÷ amounts due for collection up to end of previous month</t>
  </si>
  <si>
    <t xml:space="preserve">Overdue Ratio = receivables over 60 days ÷ total receivables of the company</t>
  </si>
  <si>
    <t xml:space="preserve">Very High Risk = debts outstanding over 91 days – require immediate escalation</t>
  </si>
  <si>
    <t xml:space="preserve">Top Overdue Customers – covering at least 80% of outstanding per company and category</t>
  </si>
  <si>
    <t xml:space="preserve">Rank</t>
  </si>
  <si>
    <t xml:space="preserve">Client</t>
  </si>
  <si>
    <t xml:space="preserve">Amount Outstanding (AED)</t>
  </si>
  <si>
    <t xml:space="preserve">Overdue 61+ (AED)</t>
  </si>
  <si>
    <t xml:space="preserve">Duration (oldest open item, days)</t>
  </si>
  <si>
    <t xml:space="preserve">Cum. % of Outstanding</t>
  </si>
  <si>
    <t xml:space="preserve">Reason</t>
  </si>
  <si>
    <t xml:space="preserve">Responsible</t>
  </si>
  <si>
    <t xml:space="preserve">Action to be Taken</t>
  </si>
  <si>
    <t xml:space="preserve">Expected Collection Date</t>
  </si>
  <si>
    <t xml:space="preserve">No receivables at 30 Sep 2026</t>
  </si>
  <si>
    <t xml:space="preserve">Reason, Responsible, Action and Expected Collection Date (yellow) are to be completed in the meeting.</t>
  </si>
  <si>
    <t xml:space="preserve">Traffic-Light Dashboard</t>
  </si>
  <si>
    <t xml:space="preserve">Reporting month: September 2026 | Invoices to 30 Sep 2026, collections to 16 Oct 2026 | Amounts in AED | Source: AR Report / AR_Customers
Red: overdue ratio &gt; 15% | Amber: 6%–15% | Green: ≤ 5%</t>
  </si>
  <si>
    <t xml:space="preserve">Overdue Ratio</t>
  </si>
  <si>
    <t xml:space="preserve">Status</t>
  </si>
  <si>
    <t xml:space="preserve">Over 60 days
Critical</t>
  </si>
  <si>
    <t xml:space="preserve">Less than 31 days
Low</t>
  </si>
  <si>
    <t xml:space="preserve">Total Outstanding</t>
  </si>
  <si>
    <t xml:space="preserve">Red</t>
  </si>
  <si>
    <t xml:space="preserve">Green</t>
  </si>
  <si>
    <t xml:space="preserve">Group Total</t>
  </si>
  <si>
    <t xml:space="preserve">Amber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</si>
</sst>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–"/>
    <numFmt numFmtId="166" formatCode="0.0%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5A6472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969696"/>
      </patternFill>
    </fill>
    <fill>
      <patternFill patternType="solid">
        <fgColor rgb="FFE4F0F0"/>
        <bgColor rgb="FFD5EBDD"/>
      </patternFill>
    </fill>
    <fill>
      <patternFill patternType="solid">
        <fgColor rgb="FFFFF2CC"/>
        <bgColor rgb="FFFCE9C8"/>
      </patternFill>
    </fill>
    <fill>
      <patternFill patternType="solid">
        <fgColor rgb="FFF8D7D3"/>
        <bgColor rgb="FFFCE9C8"/>
      </patternFill>
    </fill>
    <fill>
      <patternFill patternType="solid">
        <fgColor rgb="FFD5EBDD"/>
        <bgColor rgb="FFD9DEE4"/>
      </patternFill>
    </fill>
    <fill>
      <patternFill patternType="solid">
        <fgColor rgb="FFFCE9C8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4F0F0"/>
      <rgbColor rgb="FF660066"/>
      <rgbColor rgb="FFFF8080"/>
      <rgbColor rgb="FF0066CC"/>
      <rgbColor rgb="FFD9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BDD"/>
      <rgbColor rgb="FFFCE9C8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1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8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s">
        <v>14</v>
      </c>
      <c r="B6" s="6" t="n">
        <v>1295550.39</v>
      </c>
      <c r="C6" s="6" t="n">
        <v>778955.26</v>
      </c>
      <c r="D6" s="6" t="n">
        <v>929702.93</v>
      </c>
      <c r="E6" s="6" t="n">
        <v>741983.25</v>
      </c>
      <c r="F6" s="6" t="n">
        <v>0</v>
      </c>
      <c r="G6" s="6" t="n">
        <v>187719.68</v>
      </c>
      <c r="H6" s="6" t="n">
        <v>0</v>
      </c>
      <c r="I6" s="6" t="n">
        <v>187719.68</v>
      </c>
      <c r="J6" s="7" t="n">
        <v>0.601254313234393</v>
      </c>
      <c r="K6" s="7" t="n">
        <v>0.201913615567502</v>
      </c>
    </row>
    <row r="7" customFormat="false" ht="15" hidden="false" customHeight="false" outlineLevel="0" collapsed="false">
      <c r="A7" s="5" t="s">
        <v>15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7" t="n">
        <v>0</v>
      </c>
      <c r="K7" s="7" t="n">
        <v>0</v>
      </c>
    </row>
    <row r="8" customFormat="false" ht="15" hidden="false" customHeight="false" outlineLevel="0" collapsed="false">
      <c r="A8" s="8" t="s">
        <v>16</v>
      </c>
      <c r="B8" s="9" t="n">
        <v>1295550.39</v>
      </c>
      <c r="C8" s="9" t="n">
        <v>778955.26</v>
      </c>
      <c r="D8" s="9" t="n">
        <v>929702.93</v>
      </c>
      <c r="E8" s="9" t="n">
        <v>741983.25</v>
      </c>
      <c r="F8" s="9" t="n">
        <v>0</v>
      </c>
      <c r="G8" s="9" t="n">
        <v>187719.68</v>
      </c>
      <c r="H8" s="9" t="n">
        <v>0</v>
      </c>
      <c r="I8" s="9" t="n">
        <v>187719.68</v>
      </c>
      <c r="J8" s="10" t="n">
        <v>0.601254313234393</v>
      </c>
      <c r="K8" s="10" t="n">
        <v>0.201913615567502</v>
      </c>
    </row>
    <row r="10" customFormat="false" ht="15" hidden="false" customHeight="false" outlineLevel="0" collapsed="false">
      <c r="A10" s="3" t="s">
        <v>17</v>
      </c>
    </row>
    <row r="11" customFormat="false" ht="48" hidden="false" customHeight="true" outlineLevel="0" collapsed="false">
      <c r="A11" s="4" t="s">
        <v>3</v>
      </c>
      <c r="B11" s="4" t="s">
        <v>4</v>
      </c>
      <c r="C11" s="4" t="s">
        <v>5</v>
      </c>
      <c r="D11" s="4" t="s">
        <v>6</v>
      </c>
      <c r="E11" s="4" t="s">
        <v>7</v>
      </c>
      <c r="F11" s="4" t="s">
        <v>8</v>
      </c>
      <c r="G11" s="4" t="s">
        <v>9</v>
      </c>
      <c r="H11" s="4" t="s">
        <v>10</v>
      </c>
      <c r="I11" s="4" t="s">
        <v>11</v>
      </c>
      <c r="J11" s="4" t="s">
        <v>12</v>
      </c>
      <c r="K11" s="4" t="s">
        <v>13</v>
      </c>
    </row>
    <row r="12" customFormat="false" ht="15" hidden="false" customHeight="false" outlineLevel="0" collapsed="false">
      <c r="A12" s="5" t="s">
        <v>14</v>
      </c>
      <c r="B12" s="6" t="n">
        <v>3058414.67</v>
      </c>
      <c r="C12" s="6" t="n">
        <v>1902402.74</v>
      </c>
      <c r="D12" s="6" t="n">
        <v>3711705.23</v>
      </c>
      <c r="E12" s="6" t="n">
        <v>3169644.05</v>
      </c>
      <c r="F12" s="6" t="n">
        <v>42226.39</v>
      </c>
      <c r="G12" s="6" t="n">
        <v>13893.68</v>
      </c>
      <c r="H12" s="6" t="n">
        <v>485941.11</v>
      </c>
      <c r="I12" s="6" t="n">
        <v>499834.79</v>
      </c>
      <c r="J12" s="7" t="n">
        <v>0.622022500304055</v>
      </c>
      <c r="K12" s="7" t="n">
        <v>0.134664462565633</v>
      </c>
    </row>
    <row r="13" customFormat="false" ht="15" hidden="false" customHeight="false" outlineLevel="0" collapsed="false">
      <c r="A13" s="5" t="s">
        <v>15</v>
      </c>
      <c r="B13" s="6" t="n">
        <v>13977388.98</v>
      </c>
      <c r="C13" s="6" t="n">
        <v>7650603.24</v>
      </c>
      <c r="D13" s="6" t="n">
        <v>10666307.74</v>
      </c>
      <c r="E13" s="6" t="n">
        <v>7245167.23</v>
      </c>
      <c r="F13" s="6" t="n">
        <v>191984.38</v>
      </c>
      <c r="G13" s="6" t="n">
        <v>264337.75</v>
      </c>
      <c r="H13" s="6" t="n">
        <v>2964818.38</v>
      </c>
      <c r="I13" s="6" t="n">
        <v>3229156.13</v>
      </c>
      <c r="J13" s="7" t="n">
        <v>0.547355679300842</v>
      </c>
      <c r="K13" s="7" t="n">
        <v>0.302743574319561</v>
      </c>
    </row>
    <row r="14" customFormat="false" ht="15" hidden="false" customHeight="false" outlineLevel="0" collapsed="false">
      <c r="A14" s="8" t="s">
        <v>16</v>
      </c>
      <c r="B14" s="9" t="n">
        <v>17035803.65</v>
      </c>
      <c r="C14" s="9" t="n">
        <v>9553005.98</v>
      </c>
      <c r="D14" s="9" t="n">
        <v>14378012.97</v>
      </c>
      <c r="E14" s="9" t="n">
        <v>10414811.28</v>
      </c>
      <c r="F14" s="9" t="n">
        <v>234210.77</v>
      </c>
      <c r="G14" s="9" t="n">
        <v>278231.43</v>
      </c>
      <c r="H14" s="9" t="n">
        <v>3450759.49</v>
      </c>
      <c r="I14" s="9" t="n">
        <v>3728990.92</v>
      </c>
      <c r="J14" s="10" t="n">
        <v>0.560760512169909</v>
      </c>
      <c r="K14" s="10" t="n">
        <v>0.259353704004901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11" min="3" style="0" width="17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24</v>
      </c>
    </row>
    <row r="5" customFormat="false" ht="15" hidden="false" customHeight="false" outlineLevel="0" collapsed="false">
      <c r="A5" s="5" t="s">
        <v>14</v>
      </c>
      <c r="B5" s="5" t="s">
        <v>25</v>
      </c>
      <c r="C5" s="6" t="n">
        <v>635738.09</v>
      </c>
      <c r="D5" s="6" t="n">
        <v>319498.4</v>
      </c>
      <c r="E5" s="6" t="n">
        <v>473519.18</v>
      </c>
      <c r="F5" s="6" t="n">
        <v>315094.5</v>
      </c>
      <c r="G5" s="6" t="n">
        <v>0</v>
      </c>
      <c r="H5" s="6" t="n">
        <v>158424.68</v>
      </c>
      <c r="I5" s="6" t="n">
        <v>0</v>
      </c>
      <c r="J5" s="6" t="n">
        <v>158424.68</v>
      </c>
      <c r="K5" s="11" t="n">
        <v>61</v>
      </c>
    </row>
    <row r="6" customFormat="false" ht="15" hidden="false" customHeight="false" outlineLevel="0" collapsed="false">
      <c r="A6" s="5" t="s">
        <v>14</v>
      </c>
      <c r="B6" s="5" t="s">
        <v>26</v>
      </c>
      <c r="C6" s="6" t="n">
        <v>399243.41</v>
      </c>
      <c r="D6" s="6" t="n">
        <v>264924.71</v>
      </c>
      <c r="E6" s="6" t="n">
        <v>298846.91</v>
      </c>
      <c r="F6" s="6" t="n">
        <v>298846.91</v>
      </c>
      <c r="G6" s="6" t="n">
        <v>0</v>
      </c>
      <c r="H6" s="6" t="n">
        <v>0</v>
      </c>
      <c r="I6" s="6" t="n">
        <v>0</v>
      </c>
      <c r="J6" s="6" t="n">
        <v>0</v>
      </c>
      <c r="K6" s="11" t="n">
        <v>30</v>
      </c>
    </row>
    <row r="7" customFormat="false" ht="15" hidden="false" customHeight="false" outlineLevel="0" collapsed="false">
      <c r="A7" s="5" t="s">
        <v>14</v>
      </c>
      <c r="B7" s="5" t="s">
        <v>27</v>
      </c>
      <c r="C7" s="6" t="n">
        <v>87620.81</v>
      </c>
      <c r="D7" s="6" t="n">
        <v>29295</v>
      </c>
      <c r="E7" s="6" t="n">
        <v>86864.81</v>
      </c>
      <c r="F7" s="6" t="n">
        <v>57569.81</v>
      </c>
      <c r="G7" s="6" t="n">
        <v>0</v>
      </c>
      <c r="H7" s="6" t="n">
        <v>29295</v>
      </c>
      <c r="I7" s="6" t="n">
        <v>0</v>
      </c>
      <c r="J7" s="6" t="n">
        <v>29295</v>
      </c>
      <c r="K7" s="11" t="n">
        <v>61</v>
      </c>
    </row>
    <row r="8" customFormat="false" ht="15" hidden="false" customHeight="false" outlineLevel="0" collapsed="false">
      <c r="A8" s="5" t="s">
        <v>14</v>
      </c>
      <c r="B8" s="5" t="s">
        <v>28</v>
      </c>
      <c r="C8" s="6" t="n">
        <v>98771.86</v>
      </c>
      <c r="D8" s="6" t="n">
        <v>98693.1</v>
      </c>
      <c r="E8" s="6" t="n">
        <v>34671.56</v>
      </c>
      <c r="F8" s="6" t="n">
        <v>34671.56</v>
      </c>
      <c r="G8" s="6" t="n">
        <v>0</v>
      </c>
      <c r="H8" s="6" t="n">
        <v>0</v>
      </c>
      <c r="I8" s="6" t="n">
        <v>0</v>
      </c>
      <c r="J8" s="6" t="n">
        <v>0</v>
      </c>
      <c r="K8" s="11" t="n">
        <v>30</v>
      </c>
    </row>
    <row r="9" customFormat="false" ht="15" hidden="false" customHeight="false" outlineLevel="0" collapsed="false">
      <c r="A9" s="5" t="s">
        <v>14</v>
      </c>
      <c r="B9" s="5" t="s">
        <v>29</v>
      </c>
      <c r="C9" s="6" t="n">
        <v>41049.36</v>
      </c>
      <c r="D9" s="6" t="n">
        <v>41049.37</v>
      </c>
      <c r="E9" s="6" t="n">
        <v>21498.74</v>
      </c>
      <c r="F9" s="6" t="n">
        <v>21498.74</v>
      </c>
      <c r="G9" s="6" t="n">
        <v>0</v>
      </c>
      <c r="H9" s="6" t="n">
        <v>0</v>
      </c>
      <c r="I9" s="6" t="n">
        <v>0</v>
      </c>
      <c r="J9" s="6" t="n">
        <v>0</v>
      </c>
      <c r="K9" s="11" t="n">
        <v>0</v>
      </c>
    </row>
    <row r="10" customFormat="false" ht="15" hidden="false" customHeight="false" outlineLevel="0" collapsed="false">
      <c r="A10" s="5" t="s">
        <v>14</v>
      </c>
      <c r="B10" s="5" t="s">
        <v>30</v>
      </c>
      <c r="C10" s="6" t="n">
        <v>0</v>
      </c>
      <c r="D10" s="6" t="n">
        <v>0</v>
      </c>
      <c r="E10" s="6" t="n">
        <v>10191.96</v>
      </c>
      <c r="F10" s="6" t="n">
        <v>10191.96</v>
      </c>
      <c r="G10" s="6" t="n">
        <v>0</v>
      </c>
      <c r="H10" s="6" t="n">
        <v>0</v>
      </c>
      <c r="I10" s="6" t="n">
        <v>0</v>
      </c>
      <c r="J10" s="6" t="n">
        <v>0</v>
      </c>
      <c r="K10" s="11" t="n">
        <v>0</v>
      </c>
    </row>
    <row r="11" customFormat="false" ht="15" hidden="false" customHeight="false" outlineLevel="0" collapsed="false">
      <c r="A11" s="5" t="s">
        <v>14</v>
      </c>
      <c r="B11" s="5" t="s">
        <v>31</v>
      </c>
      <c r="C11" s="6" t="n">
        <v>1077.1</v>
      </c>
      <c r="D11" s="6" t="n">
        <v>0</v>
      </c>
      <c r="E11" s="6" t="n">
        <v>4109.77</v>
      </c>
      <c r="F11" s="6" t="n">
        <v>4109.77</v>
      </c>
      <c r="G11" s="6" t="n">
        <v>0</v>
      </c>
      <c r="H11" s="6" t="n">
        <v>0</v>
      </c>
      <c r="I11" s="6" t="n">
        <v>0</v>
      </c>
      <c r="J11" s="6" t="n">
        <v>0</v>
      </c>
      <c r="K11" s="11" t="n">
        <v>30</v>
      </c>
    </row>
    <row r="12" customFormat="false" ht="15" hidden="false" customHeight="false" outlineLevel="0" collapsed="false">
      <c r="A12" s="5" t="s">
        <v>14</v>
      </c>
      <c r="B12" s="5" t="s">
        <v>32</v>
      </c>
      <c r="C12" s="6" t="n">
        <v>25494.68</v>
      </c>
      <c r="D12" s="6" t="n">
        <v>25494.68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11"/>
    </row>
    <row r="13" customFormat="false" ht="15" hidden="false" customHeight="false" outlineLevel="0" collapsed="false">
      <c r="A13" s="5" t="s">
        <v>14</v>
      </c>
      <c r="B13" s="5" t="s">
        <v>33</v>
      </c>
      <c r="C13" s="6" t="n">
        <v>6555.08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11"/>
    </row>
    <row r="14" customFormat="false" ht="15" hidden="false" customHeight="false" outlineLevel="0" collapsed="false">
      <c r="A14" s="8" t="s">
        <v>16</v>
      </c>
      <c r="B14" s="8"/>
      <c r="C14" s="9" t="n">
        <f aca="false">SUM(C5:C13)</f>
        <v>1295550.39</v>
      </c>
      <c r="D14" s="9" t="n">
        <f aca="false">SUM(D5:D13)</f>
        <v>778955.26</v>
      </c>
      <c r="E14" s="9" t="n">
        <f aca="false">SUM(E5:E13)</f>
        <v>929702.93</v>
      </c>
      <c r="F14" s="9" t="n">
        <f aca="false">SUM(F5:F13)</f>
        <v>741983.25</v>
      </c>
      <c r="G14" s="9" t="n">
        <f aca="false">SUM(G5:G13)</f>
        <v>0</v>
      </c>
      <c r="H14" s="9" t="n">
        <f aca="false">SUM(H5:H13)</f>
        <v>187719.68</v>
      </c>
      <c r="I14" s="9" t="n">
        <f aca="false">SUM(I5:I13)</f>
        <v>0</v>
      </c>
      <c r="J14" s="9" t="n">
        <f aca="false">SUM(J5:J13)</f>
        <v>187719.68</v>
      </c>
      <c r="K1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11" min="3" style="0" width="17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24</v>
      </c>
    </row>
    <row r="5" customFormat="false" ht="15" hidden="false" customHeight="false" outlineLevel="0" collapsed="false">
      <c r="A5" s="5" t="s">
        <v>15</v>
      </c>
      <c r="B5" s="5" t="s">
        <v>35</v>
      </c>
      <c r="C5" s="6" t="n">
        <v>8481152.66</v>
      </c>
      <c r="D5" s="6" t="n">
        <v>5487778.31</v>
      </c>
      <c r="E5" s="6" t="n">
        <v>7276196.36</v>
      </c>
      <c r="F5" s="6" t="n">
        <v>7186183.48</v>
      </c>
      <c r="G5" s="6" t="n">
        <v>90012.88</v>
      </c>
      <c r="H5" s="6" t="n">
        <v>0</v>
      </c>
      <c r="I5" s="6" t="n">
        <v>0</v>
      </c>
      <c r="J5" s="6" t="n">
        <v>0</v>
      </c>
      <c r="K5" s="11" t="n">
        <v>60</v>
      </c>
    </row>
    <row r="6" customFormat="false" ht="15" hidden="false" customHeight="false" outlineLevel="0" collapsed="false">
      <c r="A6" s="5" t="s">
        <v>15</v>
      </c>
      <c r="B6" s="5" t="s">
        <v>36</v>
      </c>
      <c r="C6" s="6" t="n">
        <v>1741547.85</v>
      </c>
      <c r="D6" s="6" t="n">
        <v>0</v>
      </c>
      <c r="E6" s="6" t="n">
        <v>1741547.85</v>
      </c>
      <c r="F6" s="6" t="n">
        <v>0</v>
      </c>
      <c r="G6" s="6" t="n">
        <v>74971.5</v>
      </c>
      <c r="H6" s="6" t="n">
        <v>227354</v>
      </c>
      <c r="I6" s="6" t="n">
        <v>1439222.35</v>
      </c>
      <c r="J6" s="6" t="n">
        <v>1666576.35</v>
      </c>
      <c r="K6" s="11" t="n">
        <v>273</v>
      </c>
    </row>
    <row r="7" customFormat="false" ht="15" hidden="false" customHeight="false" outlineLevel="0" collapsed="false">
      <c r="A7" s="5" t="s">
        <v>15</v>
      </c>
      <c r="B7" s="5" t="s">
        <v>37</v>
      </c>
      <c r="C7" s="6" t="n">
        <v>1486896.59</v>
      </c>
      <c r="D7" s="6" t="n">
        <v>0</v>
      </c>
      <c r="E7" s="6" t="n">
        <v>1486596.59</v>
      </c>
      <c r="F7" s="6" t="n">
        <v>0</v>
      </c>
      <c r="G7" s="6" t="n">
        <v>0</v>
      </c>
      <c r="H7" s="6" t="n">
        <v>0</v>
      </c>
      <c r="I7" s="6" t="n">
        <v>1486596.59</v>
      </c>
      <c r="J7" s="6" t="n">
        <v>1486596.59</v>
      </c>
      <c r="K7" s="11" t="n">
        <v>273</v>
      </c>
    </row>
    <row r="8" customFormat="false" ht="15" hidden="false" customHeight="false" outlineLevel="0" collapsed="false">
      <c r="A8" s="5" t="s">
        <v>15</v>
      </c>
      <c r="B8" s="5" t="s">
        <v>38</v>
      </c>
      <c r="C8" s="6" t="n">
        <v>90515</v>
      </c>
      <c r="D8" s="6" t="n">
        <v>0</v>
      </c>
      <c r="E8" s="6" t="n">
        <v>147515</v>
      </c>
      <c r="F8" s="6" t="n">
        <v>58983.75</v>
      </c>
      <c r="G8" s="6" t="n">
        <v>27000</v>
      </c>
      <c r="H8" s="6" t="n">
        <v>36983.75</v>
      </c>
      <c r="I8" s="6" t="n">
        <v>24547.5</v>
      </c>
      <c r="J8" s="6" t="n">
        <v>61531.25</v>
      </c>
      <c r="K8" s="11" t="n">
        <v>97</v>
      </c>
    </row>
    <row r="9" customFormat="false" ht="15" hidden="false" customHeight="false" outlineLevel="0" collapsed="false">
      <c r="A9" s="5" t="s">
        <v>15</v>
      </c>
      <c r="B9" s="5" t="s">
        <v>39</v>
      </c>
      <c r="C9" s="6" t="n">
        <v>14451.94</v>
      </c>
      <c r="D9" s="6" t="n">
        <v>0</v>
      </c>
      <c r="E9" s="6" t="n">
        <v>14451.94</v>
      </c>
      <c r="F9" s="6" t="n">
        <v>0</v>
      </c>
      <c r="G9" s="6" t="n">
        <v>0</v>
      </c>
      <c r="H9" s="6" t="n">
        <v>0</v>
      </c>
      <c r="I9" s="6" t="n">
        <v>14451.94</v>
      </c>
      <c r="J9" s="6" t="n">
        <v>14451.94</v>
      </c>
      <c r="K9" s="11" t="n">
        <v>182</v>
      </c>
    </row>
    <row r="10" customFormat="false" ht="15" hidden="false" customHeight="false" outlineLevel="0" collapsed="false">
      <c r="A10" s="5" t="s">
        <v>15</v>
      </c>
      <c r="B10" s="5" t="s">
        <v>40</v>
      </c>
      <c r="C10" s="6" t="n">
        <v>2162824.93999999</v>
      </c>
      <c r="D10" s="6" t="n">
        <v>2162824.93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11"/>
    </row>
    <row r="11" customFormat="false" ht="15" hidden="false" customHeight="false" outlineLevel="0" collapsed="false">
      <c r="A11" s="5" t="s">
        <v>14</v>
      </c>
      <c r="B11" s="5" t="s">
        <v>41</v>
      </c>
      <c r="C11" s="6" t="n">
        <v>1864309.54</v>
      </c>
      <c r="D11" s="6" t="n">
        <v>1864312.49</v>
      </c>
      <c r="E11" s="6" t="n">
        <v>2834749.09</v>
      </c>
      <c r="F11" s="6" t="n">
        <v>2834749.09</v>
      </c>
      <c r="G11" s="6" t="n">
        <v>0</v>
      </c>
      <c r="H11" s="6" t="n">
        <v>0</v>
      </c>
      <c r="I11" s="6" t="n">
        <v>0</v>
      </c>
      <c r="J11" s="6" t="n">
        <v>0</v>
      </c>
      <c r="K11" s="11" t="n">
        <v>0</v>
      </c>
    </row>
    <row r="12" customFormat="false" ht="15" hidden="false" customHeight="false" outlineLevel="0" collapsed="false">
      <c r="A12" s="5" t="s">
        <v>14</v>
      </c>
      <c r="B12" s="5" t="s">
        <v>42</v>
      </c>
      <c r="C12" s="6" t="n">
        <v>276366.12</v>
      </c>
      <c r="D12" s="6" t="n">
        <v>0</v>
      </c>
      <c r="E12" s="6" t="n">
        <v>276366.12</v>
      </c>
      <c r="F12" s="6" t="n">
        <v>0</v>
      </c>
      <c r="G12" s="6" t="n">
        <v>0</v>
      </c>
      <c r="H12" s="6" t="n">
        <v>0</v>
      </c>
      <c r="I12" s="6" t="n">
        <v>276366.12</v>
      </c>
      <c r="J12" s="6" t="n">
        <v>276366.12</v>
      </c>
      <c r="K12" s="11" t="n">
        <v>273</v>
      </c>
    </row>
    <row r="13" customFormat="false" ht="15" hidden="false" customHeight="false" outlineLevel="0" collapsed="false">
      <c r="A13" s="5" t="s">
        <v>14</v>
      </c>
      <c r="B13" s="5" t="s">
        <v>43</v>
      </c>
      <c r="C13" s="6" t="n">
        <v>265845.26</v>
      </c>
      <c r="D13" s="6" t="n">
        <v>0</v>
      </c>
      <c r="E13" s="6" t="n">
        <v>268436.27</v>
      </c>
      <c r="F13" s="6" t="n">
        <v>2741.21</v>
      </c>
      <c r="G13" s="6" t="n">
        <v>42226.39</v>
      </c>
      <c r="H13" s="6" t="n">
        <v>13893.68</v>
      </c>
      <c r="I13" s="6" t="n">
        <v>209574.99</v>
      </c>
      <c r="J13" s="6" t="n">
        <v>223468.67</v>
      </c>
      <c r="K13" s="11" t="n">
        <v>170</v>
      </c>
    </row>
    <row r="14" customFormat="false" ht="15" hidden="false" customHeight="false" outlineLevel="0" collapsed="false">
      <c r="A14" s="5" t="s">
        <v>14</v>
      </c>
      <c r="B14" s="5" t="s">
        <v>44</v>
      </c>
      <c r="C14" s="6" t="n">
        <v>139819.16</v>
      </c>
      <c r="D14" s="6" t="n">
        <v>0</v>
      </c>
      <c r="E14" s="6" t="n">
        <v>212074.73</v>
      </c>
      <c r="F14" s="6" t="n">
        <v>212074.73</v>
      </c>
      <c r="G14" s="6" t="n">
        <v>0</v>
      </c>
      <c r="H14" s="6" t="n">
        <v>0</v>
      </c>
      <c r="I14" s="6" t="n">
        <v>0</v>
      </c>
      <c r="J14" s="6" t="n">
        <v>0</v>
      </c>
      <c r="K14" s="11" t="n">
        <v>30</v>
      </c>
    </row>
    <row r="15" customFormat="false" ht="15" hidden="false" customHeight="false" outlineLevel="0" collapsed="false">
      <c r="A15" s="5" t="s">
        <v>14</v>
      </c>
      <c r="B15" s="5" t="s">
        <v>45</v>
      </c>
      <c r="C15" s="6" t="n">
        <v>502600.29</v>
      </c>
      <c r="D15" s="6" t="n">
        <v>0</v>
      </c>
      <c r="E15" s="6" t="n">
        <v>79310</v>
      </c>
      <c r="F15" s="6" t="n">
        <v>79310</v>
      </c>
      <c r="G15" s="6" t="n">
        <v>0</v>
      </c>
      <c r="H15" s="6" t="n">
        <v>0</v>
      </c>
      <c r="I15" s="6" t="n">
        <v>0</v>
      </c>
      <c r="J15" s="6" t="n">
        <v>0</v>
      </c>
      <c r="K15" s="11" t="n">
        <v>0</v>
      </c>
    </row>
    <row r="16" customFormat="false" ht="15" hidden="false" customHeight="false" outlineLevel="0" collapsed="false">
      <c r="A16" s="5" t="s">
        <v>14</v>
      </c>
      <c r="B16" s="5" t="s">
        <v>46</v>
      </c>
      <c r="C16" s="6" t="n">
        <v>7536.15</v>
      </c>
      <c r="D16" s="6" t="n">
        <v>38090.25</v>
      </c>
      <c r="E16" s="6" t="n">
        <v>36344.55</v>
      </c>
      <c r="F16" s="6" t="n">
        <v>36344.55</v>
      </c>
      <c r="G16" s="6" t="n">
        <v>0</v>
      </c>
      <c r="H16" s="6" t="n">
        <v>0</v>
      </c>
      <c r="I16" s="6" t="n">
        <v>0</v>
      </c>
      <c r="J16" s="6" t="n">
        <v>0</v>
      </c>
      <c r="K16" s="11" t="n">
        <v>0</v>
      </c>
    </row>
    <row r="17" customFormat="false" ht="15" hidden="false" customHeight="false" outlineLevel="0" collapsed="false">
      <c r="A17" s="5" t="s">
        <v>14</v>
      </c>
      <c r="B17" s="5" t="s">
        <v>47</v>
      </c>
      <c r="C17" s="6" t="n">
        <v>1938.15</v>
      </c>
      <c r="D17" s="6" t="n">
        <v>0</v>
      </c>
      <c r="E17" s="6" t="n">
        <v>4424.47</v>
      </c>
      <c r="F17" s="6" t="n">
        <v>4424.47</v>
      </c>
      <c r="G17" s="6" t="n">
        <v>0</v>
      </c>
      <c r="H17" s="6" t="n">
        <v>0</v>
      </c>
      <c r="I17" s="6" t="n">
        <v>0</v>
      </c>
      <c r="J17" s="6" t="n">
        <v>0</v>
      </c>
      <c r="K17" s="11" t="n">
        <v>30</v>
      </c>
    </row>
    <row r="18" customFormat="false" ht="15" hidden="false" customHeight="false" outlineLevel="0" collapsed="false">
      <c r="A18" s="8" t="s">
        <v>16</v>
      </c>
      <c r="B18" s="8"/>
      <c r="C18" s="9" t="n">
        <f aca="false">SUM(C5:C17)</f>
        <v>17035803.65</v>
      </c>
      <c r="D18" s="9" t="n">
        <f aca="false">SUM(D5:D17)</f>
        <v>9553005.98</v>
      </c>
      <c r="E18" s="9" t="n">
        <f aca="false">SUM(E5:E17)</f>
        <v>14378012.97</v>
      </c>
      <c r="F18" s="9" t="n">
        <f aca="false">SUM(F5:F17)</f>
        <v>10414811.28</v>
      </c>
      <c r="G18" s="9" t="n">
        <f aca="false">SUM(G5:G17)</f>
        <v>234210.77</v>
      </c>
      <c r="H18" s="9" t="n">
        <f aca="false">SUM(H5:H17)</f>
        <v>278231.43</v>
      </c>
      <c r="I18" s="9" t="n">
        <f aca="false">SUM(I5:I17)</f>
        <v>3450759.49</v>
      </c>
      <c r="J18" s="9" t="n">
        <f aca="false">SUM(J5:J17)</f>
        <v>3728990.92</v>
      </c>
      <c r="K1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24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8" hidden="false" customHeight="true" outlineLevel="0" collapsed="false">
      <c r="A5" s="4" t="s">
        <v>19</v>
      </c>
      <c r="B5" s="4" t="s">
        <v>12</v>
      </c>
      <c r="C5" s="4" t="s">
        <v>49</v>
      </c>
      <c r="D5" s="4" t="s">
        <v>50</v>
      </c>
      <c r="E5" s="4" t="s">
        <v>51</v>
      </c>
    </row>
    <row r="6" customFormat="false" ht="15" hidden="false" customHeight="false" outlineLevel="0" collapsed="false">
      <c r="A6" s="5" t="s">
        <v>14</v>
      </c>
      <c r="B6" s="7" t="n">
        <v>0.601254313234393</v>
      </c>
      <c r="C6" s="7" t="n">
        <v>0.201913615567502</v>
      </c>
      <c r="D6" s="6" t="n">
        <v>0</v>
      </c>
      <c r="E6" s="7" t="n">
        <v>0</v>
      </c>
    </row>
    <row r="7" customFormat="false" ht="15" hidden="false" customHeight="false" outlineLevel="0" collapsed="false">
      <c r="A7" s="5" t="s">
        <v>15</v>
      </c>
      <c r="B7" s="7" t="n">
        <v>0</v>
      </c>
      <c r="C7" s="7" t="n">
        <v>0</v>
      </c>
      <c r="D7" s="6" t="n">
        <v>0</v>
      </c>
      <c r="E7" s="7" t="n">
        <v>0</v>
      </c>
    </row>
    <row r="8" customFormat="false" ht="15" hidden="false" customHeight="false" outlineLevel="0" collapsed="false">
      <c r="A8" s="5" t="s">
        <v>52</v>
      </c>
      <c r="B8" s="7" t="n">
        <v>0.601254313234393</v>
      </c>
      <c r="C8" s="7" t="n">
        <v>0.201913615567502</v>
      </c>
      <c r="D8" s="6" t="n">
        <v>0</v>
      </c>
      <c r="E8" s="7" t="n">
        <v>0</v>
      </c>
    </row>
    <row r="10" customFormat="false" ht="15" hidden="false" customHeight="false" outlineLevel="0" collapsed="false">
      <c r="A10" s="3" t="s">
        <v>17</v>
      </c>
    </row>
    <row r="11" customFormat="false" ht="48" hidden="false" customHeight="true" outlineLevel="0" collapsed="false">
      <c r="A11" s="4" t="s">
        <v>19</v>
      </c>
      <c r="B11" s="4" t="s">
        <v>12</v>
      </c>
      <c r="C11" s="4" t="s">
        <v>49</v>
      </c>
      <c r="D11" s="4" t="s">
        <v>50</v>
      </c>
      <c r="E11" s="4" t="s">
        <v>51</v>
      </c>
    </row>
    <row r="12" customFormat="false" ht="15" hidden="false" customHeight="false" outlineLevel="0" collapsed="false">
      <c r="A12" s="5" t="s">
        <v>14</v>
      </c>
      <c r="B12" s="7" t="n">
        <v>0.622022500304055</v>
      </c>
      <c r="C12" s="7" t="n">
        <v>0.134664462565633</v>
      </c>
      <c r="D12" s="6" t="n">
        <v>485941.11</v>
      </c>
      <c r="E12" s="7" t="n">
        <v>0.130921255834747</v>
      </c>
    </row>
    <row r="13" customFormat="false" ht="15" hidden="false" customHeight="false" outlineLevel="0" collapsed="false">
      <c r="A13" s="5" t="s">
        <v>15</v>
      </c>
      <c r="B13" s="7" t="n">
        <v>0.547355679300842</v>
      </c>
      <c r="C13" s="7" t="n">
        <v>0.302743574319561</v>
      </c>
      <c r="D13" s="6" t="n">
        <v>2964818.38</v>
      </c>
      <c r="E13" s="7" t="n">
        <v>0.277961076341493</v>
      </c>
    </row>
    <row r="14" customFormat="false" ht="15" hidden="false" customHeight="false" outlineLevel="0" collapsed="false">
      <c r="A14" s="5" t="s">
        <v>52</v>
      </c>
      <c r="B14" s="7" t="n">
        <v>0.560760512169909</v>
      </c>
      <c r="C14" s="7" t="n">
        <v>0.259353704004901</v>
      </c>
      <c r="D14" s="6" t="n">
        <v>3450759.49</v>
      </c>
      <c r="E14" s="7" t="n">
        <v>0.240002530057531</v>
      </c>
    </row>
    <row r="16" customFormat="false" ht="15" hidden="false" customHeight="false" outlineLevel="0" collapsed="false">
      <c r="A16" s="2" t="s">
        <v>53</v>
      </c>
    </row>
    <row r="17" customFormat="false" ht="15" hidden="false" customHeight="false" outlineLevel="0" collapsed="false">
      <c r="A17" s="2" t="s">
        <v>54</v>
      </c>
    </row>
    <row r="18" customFormat="false" ht="15" hidden="false" customHeight="false" outlineLevel="0" collapsed="false">
      <c r="A18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10" min="3" style="0" width="20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12" t="s">
        <v>14</v>
      </c>
    </row>
    <row r="6" customFormat="false" ht="48" hidden="false" customHeight="true" outlineLevel="0" collapsed="false">
      <c r="A6" s="4" t="s">
        <v>57</v>
      </c>
      <c r="B6" s="4" t="s">
        <v>58</v>
      </c>
      <c r="C6" s="4" t="s">
        <v>59</v>
      </c>
      <c r="D6" s="4" t="s">
        <v>60</v>
      </c>
      <c r="E6" s="4" t="s">
        <v>61</v>
      </c>
      <c r="F6" s="4" t="s">
        <v>62</v>
      </c>
      <c r="G6" s="4" t="s">
        <v>63</v>
      </c>
      <c r="H6" s="4" t="s">
        <v>64</v>
      </c>
      <c r="I6" s="4" t="s">
        <v>65</v>
      </c>
      <c r="J6" s="4" t="s">
        <v>66</v>
      </c>
    </row>
    <row r="7" customFormat="false" ht="15" hidden="false" customHeight="false" outlineLevel="0" collapsed="false">
      <c r="A7" s="5" t="n">
        <v>1</v>
      </c>
      <c r="B7" s="5" t="s">
        <v>25</v>
      </c>
      <c r="C7" s="6" t="n">
        <v>473519.18</v>
      </c>
      <c r="D7" s="6" t="n">
        <v>158424.68</v>
      </c>
      <c r="E7" s="11" t="n">
        <v>61</v>
      </c>
      <c r="F7" s="7" t="n">
        <v>0.509323101735304</v>
      </c>
      <c r="G7" s="13"/>
      <c r="H7" s="13"/>
      <c r="I7" s="13"/>
      <c r="J7" s="13"/>
    </row>
    <row r="8" customFormat="false" ht="15" hidden="false" customHeight="false" outlineLevel="0" collapsed="false">
      <c r="A8" s="5" t="n">
        <v>2</v>
      </c>
      <c r="B8" s="5" t="s">
        <v>26</v>
      </c>
      <c r="C8" s="6" t="n">
        <v>298846.91</v>
      </c>
      <c r="D8" s="6" t="n">
        <v>0</v>
      </c>
      <c r="E8" s="11" t="n">
        <v>30</v>
      </c>
      <c r="F8" s="7" t="n">
        <v>0.830766543889455</v>
      </c>
      <c r="G8" s="13"/>
      <c r="H8" s="13"/>
      <c r="I8" s="13"/>
      <c r="J8" s="13"/>
    </row>
    <row r="10" customFormat="false" ht="15" hidden="false" customHeight="false" outlineLevel="0" collapsed="false">
      <c r="A10" s="12" t="s">
        <v>15</v>
      </c>
    </row>
    <row r="11" customFormat="false" ht="48" hidden="false" customHeight="true" outlineLevel="0" collapsed="false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</row>
    <row r="12" customFormat="false" ht="15" hidden="false" customHeight="false" outlineLevel="0" collapsed="false">
      <c r="A12" s="5"/>
      <c r="B12" s="5" t="s">
        <v>67</v>
      </c>
      <c r="C12" s="5"/>
      <c r="D12" s="5"/>
      <c r="E12" s="5"/>
      <c r="F12" s="5"/>
      <c r="G12" s="5"/>
      <c r="H12" s="5"/>
      <c r="I12" s="5"/>
      <c r="J12" s="5"/>
    </row>
    <row r="14" customFormat="false" ht="15" hidden="false" customHeight="false" outlineLevel="0" collapsed="false">
      <c r="A14" s="3" t="s">
        <v>17</v>
      </c>
    </row>
    <row r="15" customFormat="false" ht="15" hidden="false" customHeight="false" outlineLevel="0" collapsed="false">
      <c r="A15" s="12" t="s">
        <v>14</v>
      </c>
    </row>
    <row r="16" customFormat="false" ht="48" hidden="false" customHeight="true" outlineLevel="0" collapsed="false">
      <c r="A16" s="4" t="s">
        <v>57</v>
      </c>
      <c r="B16" s="4" t="s">
        <v>58</v>
      </c>
      <c r="C16" s="4" t="s">
        <v>59</v>
      </c>
      <c r="D16" s="4" t="s">
        <v>60</v>
      </c>
      <c r="E16" s="4" t="s">
        <v>61</v>
      </c>
      <c r="F16" s="4" t="s">
        <v>62</v>
      </c>
      <c r="G16" s="4" t="s">
        <v>63</v>
      </c>
      <c r="H16" s="4" t="s">
        <v>64</v>
      </c>
      <c r="I16" s="4" t="s">
        <v>65</v>
      </c>
      <c r="J16" s="4" t="s">
        <v>66</v>
      </c>
    </row>
    <row r="17" customFormat="false" ht="15" hidden="false" customHeight="false" outlineLevel="0" collapsed="false">
      <c r="A17" s="5" t="n">
        <v>1</v>
      </c>
      <c r="B17" s="5" t="s">
        <v>41</v>
      </c>
      <c r="C17" s="6" t="n">
        <v>2834749.09</v>
      </c>
      <c r="D17" s="6" t="n">
        <v>0</v>
      </c>
      <c r="E17" s="11" t="n">
        <v>0</v>
      </c>
      <c r="F17" s="7" t="n">
        <v>0.763732277845781</v>
      </c>
      <c r="G17" s="13"/>
      <c r="H17" s="13"/>
      <c r="I17" s="13"/>
      <c r="J17" s="13"/>
    </row>
    <row r="18" customFormat="false" ht="15" hidden="false" customHeight="false" outlineLevel="0" collapsed="false">
      <c r="A18" s="5" t="n">
        <v>2</v>
      </c>
      <c r="B18" s="5" t="s">
        <v>42</v>
      </c>
      <c r="C18" s="6" t="n">
        <v>276366.12</v>
      </c>
      <c r="D18" s="6" t="n">
        <v>276366.12</v>
      </c>
      <c r="E18" s="11" t="n">
        <v>273</v>
      </c>
      <c r="F18" s="7" t="n">
        <v>0.838190270297946</v>
      </c>
      <c r="G18" s="13"/>
      <c r="H18" s="13"/>
      <c r="I18" s="13"/>
      <c r="J18" s="13"/>
    </row>
    <row r="20" customFormat="false" ht="15" hidden="false" customHeight="false" outlineLevel="0" collapsed="false">
      <c r="A20" s="12" t="s">
        <v>15</v>
      </c>
    </row>
    <row r="21" customFormat="false" ht="48" hidden="false" customHeight="true" outlineLevel="0" collapsed="false">
      <c r="A21" s="4" t="s">
        <v>57</v>
      </c>
      <c r="B21" s="4" t="s">
        <v>58</v>
      </c>
      <c r="C21" s="4" t="s">
        <v>59</v>
      </c>
      <c r="D21" s="4" t="s">
        <v>60</v>
      </c>
      <c r="E21" s="4" t="s">
        <v>61</v>
      </c>
      <c r="F21" s="4" t="s">
        <v>62</v>
      </c>
      <c r="G21" s="4" t="s">
        <v>63</v>
      </c>
      <c r="H21" s="4" t="s">
        <v>64</v>
      </c>
      <c r="I21" s="4" t="s">
        <v>65</v>
      </c>
      <c r="J21" s="4" t="s">
        <v>66</v>
      </c>
    </row>
    <row r="22" customFormat="false" ht="15" hidden="false" customHeight="false" outlineLevel="0" collapsed="false">
      <c r="A22" s="5" t="n">
        <v>1</v>
      </c>
      <c r="B22" s="5" t="s">
        <v>35</v>
      </c>
      <c r="C22" s="6" t="n">
        <v>7276196.36</v>
      </c>
      <c r="D22" s="6" t="n">
        <v>0</v>
      </c>
      <c r="E22" s="11" t="n">
        <v>60</v>
      </c>
      <c r="F22" s="7" t="n">
        <v>0.682166363221769</v>
      </c>
      <c r="G22" s="13"/>
      <c r="H22" s="13"/>
      <c r="I22" s="13"/>
      <c r="J22" s="13"/>
    </row>
    <row r="23" customFormat="false" ht="15" hidden="false" customHeight="false" outlineLevel="0" collapsed="false">
      <c r="A23" s="5" t="n">
        <v>2</v>
      </c>
      <c r="B23" s="5" t="s">
        <v>36</v>
      </c>
      <c r="C23" s="6" t="n">
        <v>1741547.85</v>
      </c>
      <c r="D23" s="6" t="n">
        <v>1666576.35</v>
      </c>
      <c r="E23" s="11" t="n">
        <v>273</v>
      </c>
      <c r="F23" s="7" t="n">
        <v>0.845441968281332</v>
      </c>
      <c r="G23" s="13"/>
      <c r="H23" s="13"/>
      <c r="I23" s="13"/>
      <c r="J23" s="13"/>
    </row>
    <row r="25" customFormat="false" ht="15" hidden="false" customHeight="false" outlineLevel="0" collapsed="false">
      <c r="A25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20"/>
  </cols>
  <sheetData>
    <row r="1" customFormat="false" ht="17.35" hidden="false" customHeight="false" outlineLevel="0" collapsed="false">
      <c r="A1" s="1" t="s">
        <v>69</v>
      </c>
    </row>
    <row r="2" customFormat="false" ht="31.5" hidden="false" customHeight="true" outlineLevel="0" collapsed="false">
      <c r="A2" s="14" t="s">
        <v>70</v>
      </c>
    </row>
    <row r="4" customFormat="false" ht="15" hidden="false" customHeight="false" outlineLevel="0" collapsed="false">
      <c r="A4" s="3" t="s">
        <v>2</v>
      </c>
    </row>
    <row r="5" customFormat="false" ht="48" hidden="false" customHeight="true" outlineLevel="0" collapsed="false">
      <c r="A5" s="4" t="s">
        <v>19</v>
      </c>
      <c r="B5" s="4" t="s">
        <v>71</v>
      </c>
      <c r="C5" s="4" t="s">
        <v>72</v>
      </c>
      <c r="D5" s="4" t="s">
        <v>73</v>
      </c>
      <c r="E5" s="4" t="s">
        <v>8</v>
      </c>
      <c r="F5" s="4" t="s">
        <v>74</v>
      </c>
      <c r="G5" s="4" t="s">
        <v>75</v>
      </c>
    </row>
    <row r="6" customFormat="false" ht="15" hidden="false" customHeight="false" outlineLevel="0" collapsed="false">
      <c r="A6" s="5" t="s">
        <v>14</v>
      </c>
      <c r="B6" s="7" t="n">
        <v>0.201913615567502</v>
      </c>
      <c r="C6" s="15" t="s">
        <v>76</v>
      </c>
      <c r="D6" s="6" t="n">
        <v>187719.68</v>
      </c>
      <c r="E6" s="6" t="n">
        <v>0</v>
      </c>
      <c r="F6" s="6" t="n">
        <v>741983.25</v>
      </c>
      <c r="G6" s="6" t="n">
        <v>929702.93</v>
      </c>
    </row>
    <row r="7" customFormat="false" ht="15" hidden="false" customHeight="false" outlineLevel="0" collapsed="false">
      <c r="A7" s="5" t="s">
        <v>15</v>
      </c>
      <c r="B7" s="7" t="n">
        <v>0</v>
      </c>
      <c r="C7" s="16" t="s">
        <v>77</v>
      </c>
      <c r="D7" s="6" t="n">
        <v>0</v>
      </c>
      <c r="E7" s="6" t="n">
        <v>0</v>
      </c>
      <c r="F7" s="6" t="n">
        <v>0</v>
      </c>
      <c r="G7" s="6" t="n">
        <v>0</v>
      </c>
    </row>
    <row r="8" customFormat="false" ht="15" hidden="false" customHeight="false" outlineLevel="0" collapsed="false">
      <c r="A8" s="17" t="s">
        <v>78</v>
      </c>
      <c r="B8" s="18" t="n">
        <v>0.201913615567502</v>
      </c>
      <c r="C8" s="19" t="s">
        <v>76</v>
      </c>
      <c r="D8" s="20" t="n">
        <v>187719.68</v>
      </c>
      <c r="E8" s="20" t="n">
        <v>0</v>
      </c>
      <c r="F8" s="20" t="n">
        <v>741983.25</v>
      </c>
      <c r="G8" s="20" t="n">
        <v>929702.93</v>
      </c>
    </row>
    <row r="10" customFormat="false" ht="15" hidden="false" customHeight="false" outlineLevel="0" collapsed="false">
      <c r="A10" s="3" t="s">
        <v>17</v>
      </c>
    </row>
    <row r="11" customFormat="false" ht="48" hidden="false" customHeight="true" outlineLevel="0" collapsed="false">
      <c r="A11" s="4" t="s">
        <v>19</v>
      </c>
      <c r="B11" s="4" t="s">
        <v>71</v>
      </c>
      <c r="C11" s="4" t="s">
        <v>72</v>
      </c>
      <c r="D11" s="4" t="s">
        <v>73</v>
      </c>
      <c r="E11" s="4" t="s">
        <v>8</v>
      </c>
      <c r="F11" s="4" t="s">
        <v>74</v>
      </c>
      <c r="G11" s="4" t="s">
        <v>75</v>
      </c>
    </row>
    <row r="12" customFormat="false" ht="15" hidden="false" customHeight="false" outlineLevel="0" collapsed="false">
      <c r="A12" s="5" t="s">
        <v>14</v>
      </c>
      <c r="B12" s="7" t="n">
        <v>0.134664462565633</v>
      </c>
      <c r="C12" s="21" t="s">
        <v>79</v>
      </c>
      <c r="D12" s="6" t="n">
        <v>499834.79</v>
      </c>
      <c r="E12" s="6" t="n">
        <v>42226.39</v>
      </c>
      <c r="F12" s="6" t="n">
        <v>3169644.05</v>
      </c>
      <c r="G12" s="6" t="n">
        <v>3711705.23</v>
      </c>
    </row>
    <row r="13" customFormat="false" ht="15" hidden="false" customHeight="false" outlineLevel="0" collapsed="false">
      <c r="A13" s="5" t="s">
        <v>15</v>
      </c>
      <c r="B13" s="7" t="n">
        <v>0.302743574319561</v>
      </c>
      <c r="C13" s="15" t="s">
        <v>76</v>
      </c>
      <c r="D13" s="6" t="n">
        <v>3229156.13</v>
      </c>
      <c r="E13" s="6" t="n">
        <v>191984.38</v>
      </c>
      <c r="F13" s="6" t="n">
        <v>7245167.23</v>
      </c>
      <c r="G13" s="6" t="n">
        <v>10666307.74</v>
      </c>
    </row>
    <row r="14" customFormat="false" ht="15" hidden="false" customHeight="false" outlineLevel="0" collapsed="false">
      <c r="A14" s="17" t="s">
        <v>78</v>
      </c>
      <c r="B14" s="18" t="n">
        <v>0.259353704004901</v>
      </c>
      <c r="C14" s="19" t="s">
        <v>76</v>
      </c>
      <c r="D14" s="20" t="n">
        <v>3728990.92</v>
      </c>
      <c r="E14" s="20" t="n">
        <v>234210.77</v>
      </c>
      <c r="F14" s="20" t="n">
        <v>10414811.28</v>
      </c>
      <c r="G14" s="20" t="n">
        <v>14378012.97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2026-10-20T04:15:15Z</dcterms:created>
  <dc:creator>openpyxl</dc:creator>
  <dc:description/>
  <dc:language>en-US</dc:language>
  <cp:lastModifiedBy/>
  <dcterms:modified xsi:type="dcterms:W3CDTF">2026-10-20T04:15:15Z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